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_1" sheetId="1" r:id="rId5"/>
    <sheet state="visible" name="Fig_2" sheetId="2" r:id="rId6"/>
    <sheet state="visible" name="Fig_3" sheetId="3" r:id="rId7"/>
    <sheet state="visible" name="Fig_4" sheetId="4" r:id="rId8"/>
    <sheet state="visible" name="Fig_5" sheetId="5" r:id="rId9"/>
    <sheet state="visible" name="Fig_6" sheetId="6" r:id="rId10"/>
    <sheet state="visible" name="Fig_7" sheetId="7" r:id="rId11"/>
    <sheet state="visible" name="Fig_8" sheetId="8" r:id="rId12"/>
  </sheets>
  <definedNames/>
  <calcPr/>
</workbook>
</file>

<file path=xl/sharedStrings.xml><?xml version="1.0" encoding="utf-8"?>
<sst xmlns="http://schemas.openxmlformats.org/spreadsheetml/2006/main" count="85" uniqueCount="39">
  <si>
    <t>Figure 3  Total CO2 emissions by fleet composition (Base model, 50% adoption)</t>
  </si>
  <si>
    <t>100-customer instance</t>
  </si>
  <si>
    <t>500-customer instance</t>
  </si>
  <si>
    <t>Fleet</t>
  </si>
  <si>
    <t>Total CO2 (g)</t>
  </si>
  <si>
    <t>Bike + Electric</t>
  </si>
  <si>
    <t>Mixed</t>
  </si>
  <si>
    <t>Electric</t>
  </si>
  <si>
    <t>Diesel</t>
  </si>
  <si>
    <t>Figure 4  Distance versus CO2 emissions by fleet (Base model, 50% adoption)</t>
  </si>
  <si>
    <t>Distance (km)</t>
  </si>
  <si>
    <t>Figure 5 Total CO2 emissions versus locker adoption (Base model, Mixed fleet)</t>
  </si>
  <si>
    <t>100-customer</t>
  </si>
  <si>
    <t>500-customer</t>
  </si>
  <si>
    <t>Adoption</t>
  </si>
  <si>
    <t>Total CO₂ (g)</t>
  </si>
  <si>
    <t>100 Effective</t>
  </si>
  <si>
    <t>500 Effective</t>
  </si>
  <si>
    <t>0%</t>
  </si>
  <si>
    <t>50%</t>
  </si>
  <si>
    <t>100%</t>
  </si>
  <si>
    <t>Figure 6  Fleet efficiency versus locker adoption (500-customer, Base, Mixed)</t>
  </si>
  <si>
    <t>Vehicles used</t>
  </si>
  <si>
    <t>Utilization (%)</t>
  </si>
  <si>
    <t>Figure 7  Base versus Zone model emissions across locker adoption (Mixed fleet)</t>
  </si>
  <si>
    <t>Base</t>
  </si>
  <si>
    <t>Zone</t>
  </si>
  <si>
    <t>Figure 8  Sensitivity of emissions to operational constraints (500, Mixed, 50%)</t>
  </si>
  <si>
    <t>Base model (baseline 17,686.6 g)</t>
  </si>
  <si>
    <t>Parameter</t>
  </si>
  <si>
    <t>Low emission</t>
  </si>
  <si>
    <t>High emission</t>
  </si>
  <si>
    <t>Base line</t>
  </si>
  <si>
    <t>Walking distance</t>
  </si>
  <si>
    <t>Service time</t>
  </si>
  <si>
    <t>Vehicle capacity</t>
  </si>
  <si>
    <t>Shift duration</t>
  </si>
  <si>
    <t>Zone model (baseline 29,744.3 g)</t>
  </si>
  <si>
    <t>Zone boundaries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</si>
</sst>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9">
    <font>
      <sz val="11.0"/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color rgb="FF000000"/>
      <name val="Calibri"/>
      <scheme val="minor"/>
    </font>
    <font>
      <b/>
      <sz val="12.0"/>
      <color rgb="FFFF0000"/>
      <name val="Arial"/>
    </font>
    <font>
      <color theme="1"/>
      <name val="Calibri"/>
      <scheme val="minor"/>
    </font>
    <font>
      <sz val="9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E5A88"/>
        <bgColor rgb="FF2E5A88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0" fillId="0" fontId="5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vertical="center"/>
    </xf>
    <xf borderId="0" fillId="0" fontId="4" numFmtId="0" xfId="0" applyFont="1"/>
    <xf borderId="1" fillId="0" fontId="4" numFmtId="0" xfId="0" applyAlignment="1" applyBorder="1" applyFont="1">
      <alignment horizontal="center" readingOrder="0" vertical="center"/>
    </xf>
    <xf borderId="0" fillId="0" fontId="6" numFmtId="0" xfId="0" applyFont="1"/>
    <xf borderId="1" fillId="2" fontId="3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7" numFmtId="9" xfId="0" applyAlignment="1" applyFont="1" applyNumberFormat="1">
      <alignment readingOrder="0"/>
    </xf>
    <xf borderId="0" fillId="0" fontId="8" numFmtId="0" xfId="0" applyFont="1"/>
    <xf borderId="0" fillId="0" fontId="7" numFmtId="164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+mn-lt"/>
              </a:defRPr>
            </a:pPr>
            <a:r>
              <a:rPr b="1" i="0" sz="1600">
                <a:solidFill>
                  <a:srgbClr val="000000"/>
                </a:solidFill>
                <a:latin typeface="+mn-lt"/>
              </a:rPr>
              <a:t>100-Customer Instance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Fig_3!$B$4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000FF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cmpd="sng">
                <a:noFill/>
              </a:ln>
            </c:spPr>
          </c:dPt>
          <c:dLbls>
            <c:numFmt formatCode="#,##0" sourceLinked="0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Fig_3!$A$5:$A$8</c:f>
            </c:strRef>
          </c:cat>
          <c:val>
            <c:numRef>
              <c:f>Fig_3!$B$5:$B$8</c:f>
              <c:numCache/>
            </c:numRef>
          </c:val>
        </c:ser>
        <c:axId val="272755179"/>
        <c:axId val="509274969"/>
      </c:barChart>
      <c:catAx>
        <c:axId val="272755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509274969"/>
      </c:catAx>
      <c:valAx>
        <c:axId val="509274969"/>
        <c:scaling>
          <c:orientation val="minMax"/>
        </c:scaling>
        <c:delete val="0"/>
        <c:axPos val="l"/>
        <c:majorGridlines>
          <c:spPr>
            <a:ln>
              <a:solidFill>
                <a:srgbClr val="BBBBBB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75517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Arial"/>
              </a:defRPr>
            </a:pPr>
            <a:r>
              <a:rPr b="1" i="0" sz="1400">
                <a:solidFill>
                  <a:schemeClr val="dk1"/>
                </a:solidFill>
                <a:latin typeface="Arial"/>
              </a:rPr>
              <a:t>500-Customer Instance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Fig_3!$E$4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00FF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cmpd="sng">
                <a:noFill/>
              </a:ln>
            </c:spPr>
          </c:dPt>
          <c:dLbls>
            <c:numFmt formatCode="#,##0" sourceLinked="0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Fig_3!$D$5:$D$8</c:f>
            </c:strRef>
          </c:cat>
          <c:val>
            <c:numRef>
              <c:f>Fig_3!$E$5:$E$8</c:f>
              <c:numCache/>
            </c:numRef>
          </c:val>
        </c:ser>
        <c:axId val="2011277484"/>
        <c:axId val="1419979226"/>
      </c:barChart>
      <c:catAx>
        <c:axId val="2011277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1" sz="1200">
                <a:solidFill>
                  <a:srgbClr val="000000"/>
                </a:solidFill>
                <a:latin typeface="Arial"/>
              </a:defRPr>
            </a:pPr>
          </a:p>
        </c:txPr>
        <c:crossAx val="1419979226"/>
      </c:catAx>
      <c:valAx>
        <c:axId val="1419979226"/>
        <c:scaling>
          <c:orientation val="minMax"/>
        </c:scaling>
        <c:delete val="0"/>
        <c:axPos val="l"/>
        <c:majorGridlines>
          <c:spPr>
            <a:ln>
              <a:solidFill>
                <a:srgbClr val="BBBBBB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27748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Arial"/>
              </a:defRPr>
            </a:pPr>
            <a:r>
              <a:rPr b="1" sz="1600">
                <a:solidFill>
                  <a:srgbClr val="000000"/>
                </a:solidFill>
                <a:latin typeface="Arial"/>
              </a:rPr>
              <a:t>100-Customer Instance</a:t>
            </a:r>
          </a:p>
        </c:rich>
      </c:tx>
      <c:overlay val="0"/>
    </c:title>
    <c:plotArea>
      <c:layout>
        <c:manualLayout>
          <c:xMode val="edge"/>
          <c:yMode val="edge"/>
          <c:x val="0.15908544996194815"/>
          <c:y val="0.14393939393939403"/>
          <c:w val="0.7828697435207402"/>
          <c:h val="0.6720215181127231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Fig_4!$I$4</c:f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xVal>
            <c:numRef>
              <c:f>Fig_4!$H$5:$H$8</c:f>
            </c:numRef>
          </c:xVal>
          <c:yVal>
            <c:numRef>
              <c:f>Fig_4!$I$5:$I$8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789474"/>
        <c:axId val="1570109961"/>
      </c:scatterChart>
      <c:valAx>
        <c:axId val="1606789474"/>
        <c:scaling>
          <c:orientation val="minMax"/>
        </c:scaling>
        <c:delete val="0"/>
        <c:axPos val="b"/>
        <c:majorGridlines>
          <c:spPr>
            <a:ln>
              <a:solidFill>
                <a:srgbClr val="BBBBBB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Distance (km)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Arial"/>
              </a:defRPr>
            </a:pPr>
          </a:p>
        </c:txPr>
        <c:crossAx val="1570109961"/>
      </c:valAx>
      <c:valAx>
        <c:axId val="1570109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0678947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Arial"/>
              </a:defRPr>
            </a:pPr>
            <a:r>
              <a:rPr b="1" sz="1600">
                <a:solidFill>
                  <a:srgbClr val="000000"/>
                </a:solidFill>
                <a:latin typeface="Arial"/>
              </a:rPr>
              <a:t>500-Customer Instance</a:t>
            </a:r>
          </a:p>
        </c:rich>
      </c:tx>
      <c:overlay val="0"/>
    </c:title>
    <c:plotArea>
      <c:layout>
        <c:manualLayout>
          <c:xMode val="edge"/>
          <c:yMode val="edge"/>
          <c:x val="0.15908544996194815"/>
          <c:y val="0.14393939393939403"/>
          <c:w val="0.7828697435207402"/>
          <c:h val="0.6720215181127231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Fig_4!$D$4</c:f>
            </c:strRef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xVal>
            <c:numRef>
              <c:f>Fig_4!$C$5:$C$8</c:f>
            </c:numRef>
          </c:xVal>
          <c:yVal>
            <c:numRef>
              <c:f>Fig_4!$D$5:$D$8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944842"/>
        <c:axId val="729981452"/>
      </c:scatterChart>
      <c:valAx>
        <c:axId val="219944842"/>
        <c:scaling>
          <c:orientation val="minMax"/>
        </c:scaling>
        <c:delete val="0"/>
        <c:axPos val="b"/>
        <c:majorGridlines>
          <c:spPr>
            <a:ln>
              <a:solidFill>
                <a:srgbClr val="BBBBBB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Distance (km)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Arial"/>
              </a:defRPr>
            </a:pPr>
          </a:p>
        </c:txPr>
        <c:crossAx val="729981452"/>
      </c:valAx>
      <c:valAx>
        <c:axId val="729981452"/>
        <c:scaling>
          <c:orientation val="minMax"/>
          <c:max val="5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9944842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Arial"/>
              </a:defRPr>
            </a:pPr>
            <a:r>
              <a:rPr b="1" i="0" sz="1600">
                <a:solidFill>
                  <a:srgbClr val="000000"/>
                </a:solidFill>
                <a:latin typeface="Arial"/>
              </a:rPr>
              <a:t>100-Customer Instance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Fig_5!$C$4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Fig_5!$B$5:$B$7</c:f>
            </c:strRef>
          </c:cat>
          <c:val>
            <c:numRef>
              <c:f>Fig_5!$C$5:$C$7</c:f>
              <c:numCache/>
            </c:numRef>
          </c:val>
          <c:smooth val="0"/>
        </c:ser>
        <c:ser>
          <c:idx val="1"/>
          <c:order val="1"/>
          <c:tx>
            <c:v>Effective Locker Adoption</c:v>
          </c:tx>
          <c:spPr>
            <a:ln cmpd="sng" w="76200">
              <a:solidFill>
                <a:srgbClr val="C0504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Fig_5!$B$5:$B$7</c:f>
            </c:strRef>
          </c:cat>
          <c:val>
            <c:numRef>
              <c:f>Fig_5!$E$5:$E$7</c:f>
              <c:numCache/>
            </c:numRef>
          </c:val>
          <c:smooth val="0"/>
        </c:ser>
        <c:axId val="1332959436"/>
        <c:axId val="6642534"/>
      </c:lineChart>
      <c:catAx>
        <c:axId val="1332959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1" i="0" sz="1400">
                    <a:solidFill>
                      <a:schemeClr val="dk1"/>
                    </a:solidFill>
                    <a:latin typeface="+mn-lt"/>
                  </a:rPr>
                  <a:t>Intended Locker Adoption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sz="1200">
                <a:solidFill>
                  <a:schemeClr val="dk1"/>
                </a:solidFill>
                <a:latin typeface="Arial"/>
              </a:defRPr>
            </a:pPr>
          </a:p>
        </c:txPr>
        <c:crossAx val="6642534"/>
      </c:catAx>
      <c:valAx>
        <c:axId val="6642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33295943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Arial"/>
              </a:defRPr>
            </a:pPr>
            <a:r>
              <a:rPr b="1" i="0" sz="1600">
                <a:solidFill>
                  <a:srgbClr val="000000"/>
                </a:solidFill>
                <a:latin typeface="Arial"/>
              </a:rPr>
              <a:t>500-Customer Instance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Fig_5!$D$4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dLbls>
            <c:numFmt formatCode="#,##0" sourceLinked="0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Fig_5!$B$5:$B$7</c:f>
            </c:strRef>
          </c:cat>
          <c:val>
            <c:numRef>
              <c:f>Fig_5!$D$5:$D$7</c:f>
              <c:numCache/>
            </c:numRef>
          </c:val>
          <c:smooth val="0"/>
        </c:ser>
        <c:ser>
          <c:idx val="1"/>
          <c:order val="1"/>
          <c:tx>
            <c:v>Effective Locker Adoption</c:v>
          </c:tx>
          <c:spPr>
            <a:ln cmpd="sng" w="76200">
              <a:solidFill>
                <a:srgbClr val="C0504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Fig_5!$B$5:$B$7</c:f>
            </c:strRef>
          </c:cat>
          <c:val>
            <c:numRef>
              <c:f>Fig_5!$F$5:$F$7</c:f>
              <c:numCache/>
            </c:numRef>
          </c:val>
          <c:smooth val="0"/>
        </c:ser>
        <c:axId val="1294064106"/>
        <c:axId val="1983170246"/>
      </c:lineChart>
      <c:catAx>
        <c:axId val="1294064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Arial"/>
                  </a:rPr>
                  <a:t>Intended Locker Adoption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170246"/>
      </c:catAx>
      <c:valAx>
        <c:axId val="1983170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06410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Arial"/>
              </a:defRPr>
            </a:pPr>
            <a:r>
              <a:rPr b="1" i="0" sz="1600">
                <a:solidFill>
                  <a:srgbClr val="000000"/>
                </a:solidFill>
                <a:latin typeface="Arial"/>
              </a:rPr>
              <a:t>Fleet efficiency vs Locker adoption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Fig_6!$C$4</c:f>
            </c:strRef>
          </c:tx>
          <c:spPr>
            <a:solidFill>
              <a:srgbClr val="2E5A88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 b="1" sz="12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Fig_6!$B$5:$B$7</c:f>
            </c:strRef>
          </c:cat>
          <c:val>
            <c:numRef>
              <c:f>Fig_6!$C$5:$C$7</c:f>
              <c:numCache/>
            </c:numRef>
          </c:val>
        </c:ser>
        <c:axId val="1777281490"/>
        <c:axId val="335296453"/>
      </c:barChart>
      <c:catAx>
        <c:axId val="1777281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Intended Locker Adoption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296453"/>
      </c:catAx>
      <c:valAx>
        <c:axId val="335296453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BBBBB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Arial"/>
                  </a:rPr>
                  <a:t>Vehicles used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281490"/>
      </c:valAx>
      <c:lineChart>
        <c:varyColors val="0"/>
        <c:ser>
          <c:idx val="1"/>
          <c:order val="1"/>
          <c:tx>
            <c:v>Utilization (%)</c:v>
          </c:tx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0&quot;%&quot;" sourceLinked="0"/>
            <c:txPr>
              <a:bodyPr/>
              <a:lstStyle/>
              <a:p>
                <a:pPr lvl="0">
                  <a:defRPr>
                    <a:solidFill>
                      <a:srgbClr val="FF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Fig_6!$B$5:$B$7</c:f>
            </c:strRef>
          </c:cat>
          <c:val>
            <c:numRef>
              <c:f>Fig_6!$D$5:$D$7</c:f>
              <c:numCache/>
            </c:numRef>
          </c:val>
          <c:smooth val="0"/>
        </c:ser>
        <c:axId val="1934770165"/>
        <c:axId val="1064086114"/>
      </c:lineChart>
      <c:catAx>
        <c:axId val="193477016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086114"/>
      </c:catAx>
      <c:valAx>
        <c:axId val="1064086114"/>
        <c:scaling>
          <c:orientation val="minMax"/>
          <c:max val="1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Utilization (%)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1934770165"/>
        <c:crosses val="max"/>
      </c:valAx>
    </c:plotArea>
    <c:legend>
      <c:legendPos val="t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100-Customer Instance</a:t>
            </a:r>
          </a:p>
        </c:rich>
      </c:tx>
      <c:overlay val="0"/>
    </c:title>
    <c:plotArea>
      <c:layout>
        <c:manualLayout>
          <c:xMode val="edge"/>
          <c:yMode val="edge"/>
          <c:x val="0.17951807228915662"/>
          <c:y val="0.16666666666666666"/>
          <c:w val="0.6481927710843374"/>
          <c:h val="0.6685606060606061"/>
        </c:manualLayout>
      </c:layout>
      <c:barChart>
        <c:barDir val="col"/>
        <c:ser>
          <c:idx val="0"/>
          <c:order val="0"/>
          <c:tx>
            <c:strRef>
              <c:f>Fig_7!$C$4</c:f>
            </c:strRef>
          </c:tx>
          <c:spPr>
            <a:solidFill>
              <a:srgbClr val="0000FF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Fig_7!$B$5:$B$7</c:f>
            </c:strRef>
          </c:cat>
          <c:val>
            <c:numRef>
              <c:f>Fig_7!$C$5:$C$7</c:f>
              <c:numCache/>
            </c:numRef>
          </c:val>
        </c:ser>
        <c:ser>
          <c:idx val="1"/>
          <c:order val="1"/>
          <c:tx>
            <c:strRef>
              <c:f>Fig_7!$D$4</c:f>
            </c:strRef>
          </c:tx>
          <c:spPr>
            <a:solidFill>
              <a:srgbClr val="FF0000"/>
            </a:solidFill>
            <a:ln cmpd="sng">
              <a:noFill/>
            </a:ln>
          </c:spPr>
          <c:dPt>
            <c:idx val="2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Fig_7!$B$5:$B$7</c:f>
            </c:strRef>
          </c:cat>
          <c:val>
            <c:numRef>
              <c:f>Fig_7!$D$5:$D$7</c:f>
              <c:numCache/>
            </c:numRef>
          </c:val>
        </c:ser>
        <c:axId val="18332580"/>
        <c:axId val="2135500810"/>
      </c:barChart>
      <c:catAx>
        <c:axId val="18332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Intended Locker Adoption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500810"/>
      </c:catAx>
      <c:valAx>
        <c:axId val="2135500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2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+mn-lt"/>
              </a:defRPr>
            </a:pPr>
            <a:r>
              <a:rPr b="1" i="0" sz="1600">
                <a:solidFill>
                  <a:srgbClr val="000000"/>
                </a:solidFill>
                <a:latin typeface="+mn-lt"/>
              </a:rPr>
              <a:t>500-Customer Instance</a:t>
            </a:r>
          </a:p>
        </c:rich>
      </c:tx>
      <c:overlay val="0"/>
    </c:title>
    <c:plotArea>
      <c:layout>
        <c:manualLayout>
          <c:xMode val="edge"/>
          <c:yMode val="edge"/>
          <c:x val="0.1674698795180723"/>
          <c:y val="0.16666666666666666"/>
          <c:w val="0.6602409638554216"/>
          <c:h val="0.6723484848484849"/>
        </c:manualLayout>
      </c:layout>
      <c:barChart>
        <c:barDir val="col"/>
        <c:ser>
          <c:idx val="0"/>
          <c:order val="0"/>
          <c:tx>
            <c:strRef>
              <c:f>Fig_7!$G$4</c:f>
            </c:strRef>
          </c:tx>
          <c:spPr>
            <a:solidFill>
              <a:srgbClr val="0000FF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Fig_7!$F$5:$F$7</c:f>
            </c:strRef>
          </c:cat>
          <c:val>
            <c:numRef>
              <c:f>Fig_7!$G$5:$G$7</c:f>
              <c:numCache/>
            </c:numRef>
          </c:val>
        </c:ser>
        <c:ser>
          <c:idx val="1"/>
          <c:order val="1"/>
          <c:tx>
            <c:strRef>
              <c:f>Fig_7!$H$4</c:f>
            </c:strRef>
          </c:tx>
          <c:spPr>
            <a:solidFill>
              <a:srgbClr val="FF0000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Fig_7!$F$5:$F$7</c:f>
            </c:strRef>
          </c:cat>
          <c:val>
            <c:numRef>
              <c:f>Fig_7!$H$5:$H$7</c:f>
              <c:numCache/>
            </c:numRef>
          </c:val>
        </c:ser>
        <c:axId val="1802931120"/>
        <c:axId val="2052621895"/>
      </c:barChart>
      <c:catAx>
        <c:axId val="1802931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Intended Locker Adoption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621895"/>
      </c:catAx>
      <c:valAx>
        <c:axId val="2052621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931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Base Model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Fig_8!$B$3:$B$4</c:f>
            </c:strRef>
          </c:tx>
          <c:spPr>
            <a:solidFill>
              <a:srgbClr val="6AA84F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Fig_8!$A$5:$A$8</c:f>
            </c:strRef>
          </c:cat>
          <c:val>
            <c:numRef>
              <c:f>Fig_8!$B$5:$B$8</c:f>
              <c:numCache/>
            </c:numRef>
          </c:val>
        </c:ser>
        <c:ser>
          <c:idx val="1"/>
          <c:order val="1"/>
          <c:tx>
            <c:strRef>
              <c:f>Fig_8!$C$3:$C$4</c:f>
            </c:strRef>
          </c:tx>
          <c:spPr>
            <a:solidFill>
              <a:srgbClr val="CC0000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Fig_8!$A$5:$A$8</c:f>
            </c:strRef>
          </c:cat>
          <c:val>
            <c:numRef>
              <c:f>Fig_8!$C$5:$C$8</c:f>
              <c:numCache/>
            </c:numRef>
          </c:val>
        </c:ser>
        <c:axId val="244596088"/>
        <c:axId val="1522807365"/>
      </c:barChart>
      <c:catAx>
        <c:axId val="2445960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807365"/>
      </c:catAx>
      <c:valAx>
        <c:axId val="15228073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5960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dk1"/>
                </a:solidFill>
                <a:latin typeface="+mn-lt"/>
              </a:defRPr>
            </a:pPr>
            <a:r>
              <a:rPr b="1" i="0" sz="1600">
                <a:solidFill>
                  <a:schemeClr val="dk1"/>
                </a:solidFill>
                <a:latin typeface="+mn-lt"/>
              </a:rPr>
              <a:t>Zone model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Fig_8!$B$12</c:f>
            </c:strRef>
          </c:tx>
          <c:spPr>
            <a:solidFill>
              <a:srgbClr val="6AA84F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Fig_8!$A$13:$A$17</c:f>
            </c:strRef>
          </c:cat>
          <c:val>
            <c:numRef>
              <c:f>Fig_8!$B$13:$B$17</c:f>
              <c:numCache/>
            </c:numRef>
          </c:val>
        </c:ser>
        <c:ser>
          <c:idx val="1"/>
          <c:order val="1"/>
          <c:tx>
            <c:strRef>
              <c:f>Fig_8!$C$12</c:f>
            </c:strRef>
          </c:tx>
          <c:spPr>
            <a:solidFill>
              <a:srgbClr val="CC0000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Fig_8!$A$13:$A$17</c:f>
            </c:strRef>
          </c:cat>
          <c:val>
            <c:numRef>
              <c:f>Fig_8!$C$13:$C$17</c:f>
              <c:numCache/>
            </c:numRef>
          </c:val>
        </c:ser>
        <c:axId val="1666340847"/>
        <c:axId val="218963374"/>
      </c:barChart>
      <c:catAx>
        <c:axId val="16663408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963374"/>
      </c:catAx>
      <c:valAx>
        <c:axId val="2189633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340847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Base Model</a:t>
            </a:r>
          </a:p>
        </c:rich>
      </c:tx>
      <c:layout>
        <c:manualLayout>
          <c:xMode val="edge"/>
          <c:yMode val="edge"/>
          <c:x val="0.03258333333333333"/>
          <c:y val="0.017654986522911052"/>
        </c:manualLayout>
      </c:layout>
      <c:overlay val="0"/>
    </c:title>
    <c:plotArea>
      <c:layout>
        <c:manualLayout>
          <c:xMode val="edge"/>
          <c:yMode val="edge"/>
          <c:x val="0.1375"/>
          <c:y val="0.20292003593890381"/>
          <c:w val="0.8315833333333336"/>
          <c:h val="0.6883229019142035"/>
        </c:manualLayout>
      </c:layout>
      <c:barChart>
        <c:barDir val="col"/>
        <c:ser>
          <c:idx val="0"/>
          <c:order val="0"/>
          <c:tx>
            <c:strRef>
              <c:f>Fig_8!$B$4</c:f>
            </c:strRef>
          </c:tx>
          <c:spPr>
            <a:solidFill>
              <a:srgbClr val="6AA84F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Fig_8!$A$5:$A$8</c:f>
            </c:strRef>
          </c:cat>
          <c:val>
            <c:numRef>
              <c:f>Fig_8!$B$5:$B$8</c:f>
              <c:numCache/>
            </c:numRef>
          </c:val>
        </c:ser>
        <c:ser>
          <c:idx val="1"/>
          <c:order val="1"/>
          <c:tx>
            <c:strRef>
              <c:f>Fig_8!$C$4</c:f>
            </c:strRef>
          </c:tx>
          <c:spPr>
            <a:solidFill>
              <a:srgbClr val="CC0000"/>
            </a:solidFill>
            <a:ln cmpd="sng">
              <a:noFill/>
            </a:ln>
          </c:spPr>
          <c:dPt>
            <c:idx val="1"/>
          </c:dPt>
          <c:dPt>
            <c:idx val="3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Fig_8!$A$5:$A$8</c:f>
            </c:strRef>
          </c:cat>
          <c:val>
            <c:numRef>
              <c:f>Fig_8!$C$5:$C$8</c:f>
              <c:numCache/>
            </c:numRef>
          </c:val>
        </c:ser>
        <c:axId val="403791205"/>
        <c:axId val="255468677"/>
      </c:barChart>
      <c:lineChart>
        <c:varyColors val="0"/>
        <c:ser>
          <c:idx val="2"/>
          <c:order val="2"/>
          <c:tx>
            <c:strRef>
              <c:f>Fig_8!$D$4</c:f>
            </c:strRef>
          </c:tx>
          <c:spPr>
            <a:ln cmpd="sng" w="38100">
              <a:solidFill>
                <a:srgbClr val="0000FF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cat>
            <c:strRef>
              <c:f>Fig_8!$A$5:$A$8</c:f>
            </c:strRef>
          </c:cat>
          <c:val>
            <c:numRef>
              <c:f>Fig_8!$D$5:$D$8</c:f>
              <c:numCache/>
            </c:numRef>
          </c:val>
          <c:smooth val="0"/>
        </c:ser>
        <c:axId val="403791205"/>
        <c:axId val="255468677"/>
      </c:lineChart>
      <c:catAx>
        <c:axId val="403791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468677"/>
      </c:catAx>
      <c:valAx>
        <c:axId val="255468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200">
                    <a:solidFill>
                      <a:schemeClr val="dk1"/>
                    </a:solidFill>
                    <a:latin typeface="+mn-lt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791205"/>
      </c:valAx>
    </c:plotArea>
    <c:legend>
      <c:legendPos val="r"/>
      <c:layout>
        <c:manualLayout>
          <c:xMode val="edge"/>
          <c:yMode val="edge"/>
          <c:x val="0.2757356770833334"/>
          <c:y val="0.072551662174303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Zone Model</a:t>
            </a:r>
          </a:p>
        </c:rich>
      </c:tx>
      <c:layout>
        <c:manualLayout>
          <c:xMode val="edge"/>
          <c:yMode val="edge"/>
          <c:x val="0.03258333333333333"/>
          <c:y val="0.017654986522911052"/>
        </c:manualLayout>
      </c:layout>
      <c:overlay val="0"/>
    </c:title>
    <c:plotArea>
      <c:layout>
        <c:manualLayout>
          <c:xMode val="edge"/>
          <c:yMode val="edge"/>
          <c:x val="0.1375"/>
          <c:y val="0.20292003593890381"/>
          <c:w val="0.8315833333333336"/>
          <c:h val="0.6883229019142035"/>
        </c:manualLayout>
      </c:layout>
      <c:barChart>
        <c:barDir val="col"/>
        <c:ser>
          <c:idx val="0"/>
          <c:order val="0"/>
          <c:tx>
            <c:strRef>
              <c:f>Fig_8!$B$12</c:f>
            </c:strRef>
          </c:tx>
          <c:spPr>
            <a:solidFill>
              <a:srgbClr val="6AA84F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Fig_8!$A$13:$A$17</c:f>
            </c:strRef>
          </c:cat>
          <c:val>
            <c:numRef>
              <c:f>Fig_8!$B$13:$B$17</c:f>
              <c:numCache/>
            </c:numRef>
          </c:val>
        </c:ser>
        <c:ser>
          <c:idx val="1"/>
          <c:order val="1"/>
          <c:tx>
            <c:strRef>
              <c:f>Fig_8!$C$12</c:f>
            </c:strRef>
          </c:tx>
          <c:spPr>
            <a:solidFill>
              <a:srgbClr val="CC0000"/>
            </a:solidFill>
            <a:ln cmpd="sng">
              <a:noFill/>
            </a:ln>
          </c:spPr>
          <c:dPt>
            <c:idx val="1"/>
          </c:dPt>
          <c:dPt>
            <c:idx val="3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Fig_8!$A$13:$A$17</c:f>
            </c:strRef>
          </c:cat>
          <c:val>
            <c:numRef>
              <c:f>Fig_8!$C$13:$C$17</c:f>
              <c:numCache/>
            </c:numRef>
          </c:val>
        </c:ser>
        <c:axId val="94647731"/>
        <c:axId val="1727716996"/>
      </c:barChart>
      <c:lineChart>
        <c:varyColors val="0"/>
        <c:ser>
          <c:idx val="2"/>
          <c:order val="2"/>
          <c:tx>
            <c:strRef>
              <c:f>Fig_8!$D$12</c:f>
            </c:strRef>
          </c:tx>
          <c:spPr>
            <a:ln cmpd="sng" w="38100">
              <a:solidFill>
                <a:srgbClr val="0000FF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cat>
            <c:strRef>
              <c:f>Fig_8!$A$13:$A$17</c:f>
            </c:strRef>
          </c:cat>
          <c:val>
            <c:numRef>
              <c:f>Fig_8!$D$13:$D$17</c:f>
              <c:numCache/>
            </c:numRef>
          </c:val>
          <c:smooth val="0"/>
        </c:ser>
        <c:axId val="94647731"/>
        <c:axId val="1727716996"/>
      </c:lineChart>
      <c:catAx>
        <c:axId val="94647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716996"/>
      </c:catAx>
      <c:valAx>
        <c:axId val="1727716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200">
                    <a:solidFill>
                      <a:schemeClr val="dk1"/>
                    </a:solidFill>
                    <a:latin typeface="+mn-lt"/>
                  </a:rPr>
                  <a:t>Total CO₂ (g)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47731"/>
      </c:valAx>
    </c:plotArea>
    <c:legend>
      <c:legendPos val="r"/>
      <c:layout>
        <c:manualLayout>
          <c:xMode val="edge"/>
          <c:yMode val="edge"/>
          <c:x val="0.2757356770833334"/>
          <c:y val="0.072551662174303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190500</xdr:rowOff>
    </xdr:from>
    <xdr:ext cx="3952875" cy="2905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0</xdr:row>
      <xdr:rowOff>190500</xdr:rowOff>
    </xdr:from>
    <xdr:ext cx="4848225" cy="3705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1085850</xdr:colOff>
      <xdr:row>10</xdr:row>
      <xdr:rowOff>0</xdr:rowOff>
    </xdr:from>
    <xdr:ext cx="3952875" cy="2514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0</xdr:rowOff>
    </xdr:from>
    <xdr:ext cx="3952875" cy="2514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19050</xdr:rowOff>
    </xdr:from>
    <xdr:ext cx="4676775" cy="2924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1123950</xdr:colOff>
      <xdr:row>11</xdr:row>
      <xdr:rowOff>19050</xdr:rowOff>
    </xdr:from>
    <xdr:ext cx="4676775" cy="2924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190500</xdr:rowOff>
    </xdr:from>
    <xdr:ext cx="4676775" cy="2924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371475</xdr:colOff>
      <xdr:row>9</xdr:row>
      <xdr:rowOff>190500</xdr:rowOff>
    </xdr:from>
    <xdr:ext cx="4676775" cy="29241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9</xdr:row>
      <xdr:rowOff>47625</xdr:rowOff>
    </xdr:from>
    <xdr:ext cx="4676775" cy="28765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47625</xdr:rowOff>
    </xdr:from>
    <xdr:ext cx="4552950" cy="29241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419100</xdr:colOff>
      <xdr:row>10</xdr:row>
      <xdr:rowOff>47625</xdr:rowOff>
    </xdr:from>
    <xdr:ext cx="4552950" cy="29241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123825</xdr:colOff>
      <xdr:row>23</xdr:row>
      <xdr:rowOff>180975</xdr:rowOff>
    </xdr:from>
    <xdr:ext cx="4314825" cy="32194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495300</xdr:colOff>
      <xdr:row>24</xdr:row>
      <xdr:rowOff>95250</xdr:rowOff>
    </xdr:from>
    <xdr:ext cx="4314825" cy="32194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133350</xdr:colOff>
      <xdr:row>2</xdr:row>
      <xdr:rowOff>47625</xdr:rowOff>
    </xdr:from>
    <xdr:ext cx="5715000" cy="33718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142875</xdr:colOff>
      <xdr:row>2</xdr:row>
      <xdr:rowOff>47625</xdr:rowOff>
    </xdr:from>
    <xdr:ext cx="5715000" cy="33718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3" width="3.0"/>
    <col customWidth="1" min="4" max="4" width="18.0"/>
    <col customWidth="1" min="5" max="5" width="14.0"/>
    <col customWidth="1" min="6" max="26" width="8.71"/>
  </cols>
  <sheetData>
    <row r="1">
      <c r="A1" s="1" t="s">
        <v>0</v>
      </c>
    </row>
    <row r="3">
      <c r="A3" s="2" t="s">
        <v>1</v>
      </c>
      <c r="D3" s="2" t="s">
        <v>2</v>
      </c>
    </row>
    <row r="4">
      <c r="A4" s="3" t="s">
        <v>3</v>
      </c>
      <c r="B4" s="3" t="s">
        <v>4</v>
      </c>
      <c r="C4" s="3"/>
      <c r="D4" s="3" t="s">
        <v>3</v>
      </c>
      <c r="E4" s="3" t="s">
        <v>4</v>
      </c>
    </row>
    <row r="5">
      <c r="A5" s="4" t="s">
        <v>5</v>
      </c>
      <c r="B5" s="5">
        <v>1991.8</v>
      </c>
      <c r="D5" s="4" t="s">
        <v>5</v>
      </c>
      <c r="E5" s="5">
        <v>11765.9</v>
      </c>
    </row>
    <row r="6">
      <c r="A6" s="4" t="s">
        <v>6</v>
      </c>
      <c r="B6" s="5">
        <v>2548.8</v>
      </c>
      <c r="D6" s="4" t="s">
        <v>7</v>
      </c>
      <c r="E6" s="5">
        <v>13378.0</v>
      </c>
    </row>
    <row r="7">
      <c r="A7" s="4" t="s">
        <v>7</v>
      </c>
      <c r="B7" s="5">
        <v>5433.5</v>
      </c>
      <c r="D7" s="4" t="s">
        <v>6</v>
      </c>
      <c r="E7" s="5">
        <v>17686.6</v>
      </c>
    </row>
    <row r="8">
      <c r="A8" s="4" t="s">
        <v>8</v>
      </c>
      <c r="B8" s="5">
        <v>20265.4</v>
      </c>
      <c r="D8" s="4" t="s">
        <v>8</v>
      </c>
      <c r="E8" s="5">
        <v>48771.0</v>
      </c>
    </row>
    <row r="13">
      <c r="R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8.0"/>
    <col customWidth="1" min="3" max="4" width="14.0"/>
    <col customWidth="1" min="5" max="5" width="8.71"/>
    <col customWidth="1" min="6" max="6" width="23.14"/>
    <col customWidth="1" min="7" max="7" width="23.86"/>
    <col customWidth="1" min="8" max="8" width="14.86"/>
    <col customWidth="1" min="9" max="9" width="14.14"/>
    <col customWidth="1" min="10" max="27" width="8.71"/>
  </cols>
  <sheetData>
    <row r="1">
      <c r="A1" s="7"/>
      <c r="B1" s="1" t="s">
        <v>9</v>
      </c>
    </row>
    <row r="3">
      <c r="A3" s="2"/>
      <c r="B3" s="2" t="s">
        <v>2</v>
      </c>
      <c r="G3" s="8" t="s">
        <v>1</v>
      </c>
    </row>
    <row r="4">
      <c r="A4" s="9"/>
      <c r="B4" s="3" t="s">
        <v>3</v>
      </c>
      <c r="C4" s="3" t="s">
        <v>10</v>
      </c>
      <c r="D4" s="3" t="s">
        <v>4</v>
      </c>
      <c r="G4" s="3" t="s">
        <v>3</v>
      </c>
      <c r="H4" s="3" t="s">
        <v>10</v>
      </c>
      <c r="I4" s="3" t="s">
        <v>4</v>
      </c>
    </row>
    <row r="5">
      <c r="A5" s="10"/>
      <c r="B5" s="4" t="s">
        <v>5</v>
      </c>
      <c r="C5" s="5">
        <v>223.31</v>
      </c>
      <c r="D5" s="5">
        <v>11765.9</v>
      </c>
      <c r="G5" s="4" t="s">
        <v>5</v>
      </c>
      <c r="H5" s="11">
        <v>86.19</v>
      </c>
      <c r="I5" s="11">
        <v>1991.8</v>
      </c>
    </row>
    <row r="6">
      <c r="A6" s="10"/>
      <c r="B6" s="4" t="s">
        <v>7</v>
      </c>
      <c r="C6" s="5">
        <v>180.78</v>
      </c>
      <c r="D6" s="5">
        <v>13378.0</v>
      </c>
      <c r="G6" s="4" t="s">
        <v>7</v>
      </c>
      <c r="H6" s="11">
        <v>73.43</v>
      </c>
      <c r="I6" s="11">
        <v>5433.5</v>
      </c>
    </row>
    <row r="7">
      <c r="A7" s="10"/>
      <c r="B7" s="4" t="s">
        <v>6</v>
      </c>
      <c r="C7" s="5">
        <v>227.8</v>
      </c>
      <c r="D7" s="5">
        <v>17686.6</v>
      </c>
      <c r="G7" s="4" t="s">
        <v>6</v>
      </c>
      <c r="H7" s="11">
        <v>80.79</v>
      </c>
      <c r="I7" s="11">
        <v>2548.8</v>
      </c>
    </row>
    <row r="8">
      <c r="A8" s="10"/>
      <c r="B8" s="4" t="s">
        <v>8</v>
      </c>
      <c r="C8" s="5">
        <v>176.71</v>
      </c>
      <c r="D8" s="5">
        <v>48771.0</v>
      </c>
      <c r="G8" s="4" t="s">
        <v>8</v>
      </c>
      <c r="H8" s="11">
        <v>73.43</v>
      </c>
      <c r="I8" s="11">
        <v>20265.4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2.0"/>
    <col customWidth="1" min="3" max="4" width="14.0"/>
    <col customWidth="1" min="5" max="27" width="8.71"/>
  </cols>
  <sheetData>
    <row r="1">
      <c r="A1" s="12"/>
      <c r="B1" s="1" t="s">
        <v>11</v>
      </c>
    </row>
    <row r="3">
      <c r="C3" s="3" t="s">
        <v>12</v>
      </c>
      <c r="D3" s="3" t="s">
        <v>13</v>
      </c>
    </row>
    <row r="4">
      <c r="A4" s="9"/>
      <c r="B4" s="3" t="s">
        <v>14</v>
      </c>
      <c r="C4" s="13" t="s">
        <v>15</v>
      </c>
      <c r="D4" s="13" t="s">
        <v>15</v>
      </c>
      <c r="E4" s="14" t="s">
        <v>16</v>
      </c>
      <c r="F4" s="14" t="s">
        <v>17</v>
      </c>
    </row>
    <row r="5">
      <c r="A5" s="10"/>
      <c r="B5" s="4" t="s">
        <v>18</v>
      </c>
      <c r="C5" s="5">
        <v>3135.7</v>
      </c>
      <c r="D5" s="5">
        <v>26471.4</v>
      </c>
      <c r="E5" s="15">
        <v>0.0</v>
      </c>
      <c r="F5" s="15">
        <v>0.0</v>
      </c>
    </row>
    <row r="6">
      <c r="A6" s="10"/>
      <c r="B6" s="4" t="s">
        <v>19</v>
      </c>
      <c r="C6" s="5">
        <v>2548.8</v>
      </c>
      <c r="D6" s="5">
        <v>17686.6</v>
      </c>
      <c r="E6" s="15">
        <v>0.48</v>
      </c>
      <c r="F6" s="15">
        <v>0.28</v>
      </c>
    </row>
    <row r="7">
      <c r="A7" s="10"/>
      <c r="B7" s="4" t="s">
        <v>20</v>
      </c>
      <c r="C7" s="5">
        <v>2410.3</v>
      </c>
      <c r="D7" s="5">
        <v>8460.8</v>
      </c>
      <c r="E7" s="15">
        <v>0.96</v>
      </c>
      <c r="F7" s="15">
        <v>0.57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H28" s="1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2.0"/>
    <col customWidth="1" min="3" max="3" width="14.0"/>
    <col customWidth="1" min="4" max="4" width="16.0"/>
    <col customWidth="1" min="5" max="27" width="8.71"/>
  </cols>
  <sheetData>
    <row r="1">
      <c r="A1" s="7"/>
      <c r="B1" s="1" t="s">
        <v>21</v>
      </c>
    </row>
    <row r="4">
      <c r="A4" s="9"/>
      <c r="B4" s="3" t="s">
        <v>14</v>
      </c>
      <c r="C4" s="3" t="s">
        <v>22</v>
      </c>
      <c r="D4" s="13" t="s">
        <v>23</v>
      </c>
    </row>
    <row r="5">
      <c r="A5" s="10"/>
      <c r="B5" s="4" t="s">
        <v>18</v>
      </c>
      <c r="C5" s="5">
        <v>9.0</v>
      </c>
      <c r="D5" s="5">
        <v>59.0</v>
      </c>
    </row>
    <row r="6">
      <c r="A6" s="10"/>
      <c r="B6" s="4" t="s">
        <v>19</v>
      </c>
      <c r="C6" s="5">
        <v>7.0</v>
      </c>
      <c r="D6" s="5">
        <v>74.0</v>
      </c>
    </row>
    <row r="7">
      <c r="A7" s="10"/>
      <c r="B7" s="4" t="s">
        <v>20</v>
      </c>
      <c r="C7" s="5">
        <v>6.0</v>
      </c>
      <c r="D7" s="5">
        <v>85.0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2.0"/>
    <col customWidth="1" min="5" max="5" width="3.0"/>
    <col customWidth="1" min="6" max="8" width="12.0"/>
    <col customWidth="1" min="9" max="27" width="8.71"/>
  </cols>
  <sheetData>
    <row r="1">
      <c r="A1" s="7"/>
      <c r="B1" s="1" t="s">
        <v>24</v>
      </c>
    </row>
    <row r="3">
      <c r="A3" s="2"/>
      <c r="B3" s="2" t="s">
        <v>1</v>
      </c>
      <c r="F3" s="2" t="s">
        <v>2</v>
      </c>
    </row>
    <row r="4">
      <c r="A4" s="9"/>
      <c r="B4" s="3" t="s">
        <v>14</v>
      </c>
      <c r="C4" s="3" t="s">
        <v>25</v>
      </c>
      <c r="D4" s="3" t="s">
        <v>26</v>
      </c>
      <c r="F4" s="3" t="s">
        <v>14</v>
      </c>
      <c r="G4" s="3" t="s">
        <v>25</v>
      </c>
      <c r="H4" s="3" t="s">
        <v>26</v>
      </c>
    </row>
    <row r="5">
      <c r="A5" s="10"/>
      <c r="B5" s="4" t="s">
        <v>18</v>
      </c>
      <c r="C5" s="5">
        <v>3135.7</v>
      </c>
      <c r="D5" s="5">
        <v>15088.7</v>
      </c>
      <c r="F5" s="4" t="s">
        <v>18</v>
      </c>
      <c r="G5" s="5">
        <v>26471.4</v>
      </c>
      <c r="H5" s="5">
        <v>33811.9</v>
      </c>
    </row>
    <row r="6">
      <c r="A6" s="10"/>
      <c r="B6" s="4" t="s">
        <v>19</v>
      </c>
      <c r="C6" s="5">
        <v>2548.8</v>
      </c>
      <c r="D6" s="5">
        <v>14354.6</v>
      </c>
      <c r="F6" s="4" t="s">
        <v>19</v>
      </c>
      <c r="G6" s="5">
        <v>17686.6</v>
      </c>
      <c r="H6" s="5">
        <v>29744.3</v>
      </c>
    </row>
    <row r="7">
      <c r="A7" s="10"/>
      <c r="B7" s="4" t="s">
        <v>20</v>
      </c>
      <c r="C7" s="5">
        <v>2410.3</v>
      </c>
      <c r="D7" s="5">
        <v>13936.2</v>
      </c>
      <c r="F7" s="4" t="s">
        <v>20</v>
      </c>
      <c r="G7" s="5">
        <v>8460.8</v>
      </c>
      <c r="H7" s="5">
        <v>26078.7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3" width="14.0"/>
    <col customWidth="1" min="4" max="26" width="8.71"/>
  </cols>
  <sheetData>
    <row r="1">
      <c r="A1" s="1" t="s">
        <v>27</v>
      </c>
    </row>
    <row r="3">
      <c r="A3" s="2" t="s">
        <v>28</v>
      </c>
    </row>
    <row r="4">
      <c r="A4" s="3" t="s">
        <v>29</v>
      </c>
      <c r="B4" s="3" t="s">
        <v>30</v>
      </c>
      <c r="C4" s="3" t="s">
        <v>31</v>
      </c>
      <c r="D4" s="14" t="s">
        <v>32</v>
      </c>
    </row>
    <row r="5">
      <c r="A5" s="4" t="s">
        <v>33</v>
      </c>
      <c r="B5" s="5">
        <v>16876.6</v>
      </c>
      <c r="C5" s="5">
        <v>20390.6</v>
      </c>
      <c r="D5" s="17">
        <v>17686.6</v>
      </c>
    </row>
    <row r="6">
      <c r="A6" s="4" t="s">
        <v>34</v>
      </c>
      <c r="B6" s="5">
        <v>17686.6</v>
      </c>
      <c r="C6" s="5">
        <v>24321.4</v>
      </c>
      <c r="D6" s="17">
        <v>17686.6</v>
      </c>
    </row>
    <row r="7">
      <c r="A7" s="4" t="s">
        <v>35</v>
      </c>
      <c r="B7" s="5">
        <v>14817.6</v>
      </c>
      <c r="C7" s="5">
        <v>19642.4</v>
      </c>
      <c r="D7" s="17">
        <v>17686.6</v>
      </c>
    </row>
    <row r="8">
      <c r="A8" s="4" t="s">
        <v>36</v>
      </c>
      <c r="B8" s="5">
        <v>15861.9</v>
      </c>
      <c r="C8" s="5">
        <v>23456.6</v>
      </c>
      <c r="D8" s="17">
        <v>17686.6</v>
      </c>
    </row>
    <row r="11">
      <c r="A11" s="2" t="s">
        <v>37</v>
      </c>
    </row>
    <row r="12">
      <c r="A12" s="3" t="s">
        <v>29</v>
      </c>
      <c r="B12" s="3" t="s">
        <v>30</v>
      </c>
      <c r="C12" s="3" t="s">
        <v>31</v>
      </c>
      <c r="D12" s="14" t="s">
        <v>32</v>
      </c>
    </row>
    <row r="13">
      <c r="A13" s="4" t="s">
        <v>38</v>
      </c>
      <c r="B13" s="5">
        <v>28203.5</v>
      </c>
      <c r="C13" s="5">
        <v>38263.1</v>
      </c>
      <c r="D13" s="18">
        <v>29744.3</v>
      </c>
    </row>
    <row r="14">
      <c r="A14" s="4" t="s">
        <v>33</v>
      </c>
      <c r="B14" s="5">
        <v>28928.0</v>
      </c>
      <c r="C14" s="5">
        <v>33841.5</v>
      </c>
      <c r="D14" s="18">
        <v>29744.3</v>
      </c>
    </row>
    <row r="15">
      <c r="A15" s="4" t="s">
        <v>34</v>
      </c>
      <c r="B15" s="5">
        <v>29744.3</v>
      </c>
      <c r="C15" s="5">
        <v>35483.8</v>
      </c>
      <c r="D15" s="18">
        <v>29744.3</v>
      </c>
    </row>
    <row r="16">
      <c r="A16" s="4" t="s">
        <v>35</v>
      </c>
      <c r="B16" s="5">
        <v>29744.3</v>
      </c>
      <c r="C16" s="5">
        <v>29744.3</v>
      </c>
      <c r="D16" s="18">
        <v>29744.3</v>
      </c>
    </row>
    <row r="17">
      <c r="A17" s="4" t="s">
        <v>36</v>
      </c>
      <c r="B17" s="5">
        <v>29408.6</v>
      </c>
      <c r="C17" s="5">
        <v>34643.0</v>
      </c>
      <c r="D17" s="18">
        <v>29744.3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